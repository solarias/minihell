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Sheet1!$D$2:$O$2</definedName>
  </definedNames>
  <calcPr calcId="125725"/>
</workbook>
</file>

<file path=xl/calcChain.xml><?xml version="1.0" encoding="utf-8"?>
<calcChain xmlns="http://schemas.openxmlformats.org/spreadsheetml/2006/main">
  <c r="F11" i="1"/>
  <c r="E11"/>
  <c r="F8"/>
  <c r="F9"/>
  <c r="F10"/>
  <c r="F12"/>
  <c r="F13"/>
  <c r="F7"/>
  <c r="E7"/>
  <c r="E9"/>
  <c r="E10"/>
  <c r="E12"/>
  <c r="E13"/>
  <c r="E8"/>
  <c r="P4"/>
  <c r="P3"/>
</calcChain>
</file>

<file path=xl/sharedStrings.xml><?xml version="1.0" encoding="utf-8"?>
<sst xmlns="http://schemas.openxmlformats.org/spreadsheetml/2006/main" count="55" uniqueCount="47">
  <si>
    <t>name</t>
    <phoneticPr fontId="1" type="noConversion"/>
  </si>
  <si>
    <t>url</t>
    <phoneticPr fontId="1" type="noConversion"/>
  </si>
  <si>
    <t>w</t>
    <phoneticPr fontId="1" type="noConversion"/>
  </si>
  <si>
    <t>h</t>
    <phoneticPr fontId="1" type="noConversion"/>
  </si>
  <si>
    <t>컷-길이</t>
    <phoneticPr fontId="1" type="noConversion"/>
  </si>
  <si>
    <t>컷-높이</t>
    <phoneticPr fontId="1" type="noConversion"/>
  </si>
  <si>
    <t>URL</t>
    <phoneticPr fontId="1" type="noConversion"/>
  </si>
  <si>
    <t>전체길이</t>
    <phoneticPr fontId="1" type="noConversion"/>
  </si>
  <si>
    <t>전체높이</t>
    <phoneticPr fontId="1" type="noConversion"/>
  </si>
  <si>
    <t>명칭</t>
    <phoneticPr fontId="1" type="noConversion"/>
  </si>
  <si>
    <t>tw</t>
    <phoneticPr fontId="1" type="noConversion"/>
  </si>
  <si>
    <t>th</t>
    <phoneticPr fontId="1" type="noConversion"/>
  </si>
  <si>
    <t>r</t>
    <phoneticPr fontId="1" type="noConversion"/>
  </si>
  <si>
    <t>컷-열(row)</t>
    <phoneticPr fontId="1" type="noConversion"/>
  </si>
  <si>
    <t>c</t>
    <phoneticPr fontId="1" type="noConversion"/>
  </si>
  <si>
    <t>총 컷 수</t>
    <phoneticPr fontId="1" type="noConversion"/>
  </si>
  <si>
    <t>t</t>
    <phoneticPr fontId="1" type="noConversion"/>
  </si>
  <si>
    <t>총 시간</t>
    <phoneticPr fontId="1" type="noConversion"/>
  </si>
  <si>
    <t>epic_appear</t>
    <phoneticPr fontId="1" type="noConversion"/>
  </si>
  <si>
    <t>epic_appear_wish</t>
    <phoneticPr fontId="1" type="noConversion"/>
  </si>
  <si>
    <t>epic_land</t>
    <phoneticPr fontId="1" type="noConversion"/>
  </si>
  <si>
    <t>epic_land_wish</t>
    <phoneticPr fontId="1" type="noConversion"/>
  </si>
  <si>
    <t>epic_wait</t>
    <phoneticPr fontId="1" type="noConversion"/>
  </si>
  <si>
    <t>epic_wait_wish1</t>
    <phoneticPr fontId="1" type="noConversion"/>
  </si>
  <si>
    <t>epic_wait_wish2</t>
    <phoneticPr fontId="1" type="noConversion"/>
  </si>
  <si>
    <t>컷-x</t>
    <phoneticPr fontId="1" type="noConversion"/>
  </si>
  <si>
    <t>컷-y</t>
    <phoneticPr fontId="1" type="noConversion"/>
  </si>
  <si>
    <t>x</t>
    <phoneticPr fontId="1" type="noConversion"/>
  </si>
  <si>
    <t>y</t>
    <phoneticPr fontId="1" type="noConversion"/>
  </si>
  <si>
    <t>gateX</t>
    <phoneticPr fontId="1" type="noConversion"/>
  </si>
  <si>
    <t>gateY</t>
    <phoneticPr fontId="1" type="noConversion"/>
  </si>
  <si>
    <t>#spriteInfo[{}]</t>
    <phoneticPr fontId="1" type="noConversion"/>
  </si>
  <si>
    <t>type</t>
    <phoneticPr fontId="1" type="noConversion"/>
  </si>
  <si>
    <t>종류</t>
    <phoneticPr fontId="1" type="noConversion"/>
  </si>
  <si>
    <t>character</t>
    <phoneticPr fontId="1" type="noConversion"/>
  </si>
  <si>
    <t>item</t>
    <phoneticPr fontId="1" type="noConversion"/>
  </si>
  <si>
    <t>epic</t>
    <phoneticPr fontId="1" type="noConversion"/>
  </si>
  <si>
    <t>컷-x(게이트)</t>
    <phoneticPr fontId="1" type="noConversion"/>
  </si>
  <si>
    <t>컷-y(게이트)</t>
    <phoneticPr fontId="1" type="noConversion"/>
  </si>
  <si>
    <t>컷-확대</t>
    <phoneticPr fontId="1" type="noConversion"/>
  </si>
  <si>
    <t>m</t>
    <phoneticPr fontId="1" type="noConversion"/>
  </si>
  <si>
    <t>z</t>
    <phoneticPr fontId="1" type="noConversion"/>
  </si>
  <si>
    <t>컷-z축</t>
    <phoneticPr fontId="1" type="noConversion"/>
  </si>
  <si>
    <t>cover</t>
    <phoneticPr fontId="1" type="noConversion"/>
  </si>
  <si>
    <t>character_wait</t>
    <phoneticPr fontId="1" type="noConversion"/>
  </si>
  <si>
    <t>character_attack</t>
    <phoneticPr fontId="1" type="noConversion"/>
  </si>
  <si>
    <t>./sprite/images/sprite_item.png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</si>
</sst>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3"/>
  <sheetViews>
    <sheetView tabSelected="1" workbookViewId="0">
      <pane ySplit="2" topLeftCell="A3" activePane="bottomLeft" state="frozen"/>
      <selection pane="bottomLeft" activeCell="D8" sqref="D8"/>
    </sheetView>
  </sheetViews>
  <sheetFormatPr defaultColWidth="9" defaultRowHeight="17.399999999999999"/>
  <cols>
    <col min="1" max="1" width="11.8984375" style="4" bestFit="1" customWidth="1"/>
    <col min="2" max="2" width="18.5" style="5" bestFit="1" customWidth="1"/>
    <col min="3" max="3" width="8.796875" style="1" bestFit="1" customWidth="1"/>
    <col min="4" max="4" width="52.3984375" style="5" bestFit="1" customWidth="1"/>
    <col min="5" max="6" width="8.59765625" style="1" bestFit="1" customWidth="1"/>
    <col min="7" max="8" width="8.59765625" style="1" customWidth="1"/>
    <col min="9" max="9" width="9.69921875" style="1" customWidth="1"/>
    <col min="10" max="10" width="11.19921875" style="1" bestFit="1" customWidth="1"/>
    <col min="11" max="11" width="11.296875" style="1" bestFit="1" customWidth="1"/>
    <col min="12" max="13" width="7.5" style="1" bestFit="1" customWidth="1"/>
    <col min="14" max="14" width="7.5" style="1" customWidth="1"/>
    <col min="15" max="15" width="9.69921875" style="1" bestFit="1" customWidth="1"/>
    <col min="16" max="16" width="8" style="1" bestFit="1" customWidth="1"/>
    <col min="17" max="17" width="9.19921875" style="1" bestFit="1" customWidth="1"/>
    <col min="18" max="16384" width="9" style="4"/>
  </cols>
  <sheetData>
    <row r="1" spans="1:17" s="1" customFormat="1">
      <c r="B1" s="1" t="s">
        <v>9</v>
      </c>
      <c r="C1" s="1" t="s">
        <v>33</v>
      </c>
      <c r="D1" s="1" t="s">
        <v>6</v>
      </c>
      <c r="E1" s="1" t="s">
        <v>7</v>
      </c>
      <c r="F1" s="1" t="s">
        <v>8</v>
      </c>
      <c r="G1" s="1" t="s">
        <v>25</v>
      </c>
      <c r="H1" s="1" t="s">
        <v>26</v>
      </c>
      <c r="I1" s="1" t="s">
        <v>42</v>
      </c>
      <c r="J1" s="1" t="s">
        <v>37</v>
      </c>
      <c r="K1" s="1" t="s">
        <v>38</v>
      </c>
      <c r="L1" s="1" t="s">
        <v>4</v>
      </c>
      <c r="M1" s="1" t="s">
        <v>5</v>
      </c>
      <c r="N1" s="1" t="s">
        <v>39</v>
      </c>
      <c r="O1" s="1" t="s">
        <v>13</v>
      </c>
      <c r="P1" s="1" t="s">
        <v>15</v>
      </c>
      <c r="Q1" s="1" t="s">
        <v>17</v>
      </c>
    </row>
    <row r="2" spans="1:17" s="1" customFormat="1">
      <c r="A2" s="2" t="s">
        <v>31</v>
      </c>
      <c r="B2" s="3" t="s">
        <v>0</v>
      </c>
      <c r="C2" s="3" t="s">
        <v>32</v>
      </c>
      <c r="D2" s="3" t="s">
        <v>1</v>
      </c>
      <c r="E2" s="3" t="s">
        <v>10</v>
      </c>
      <c r="F2" s="3" t="s">
        <v>11</v>
      </c>
      <c r="G2" s="3" t="s">
        <v>27</v>
      </c>
      <c r="H2" s="3" t="s">
        <v>28</v>
      </c>
      <c r="I2" s="3" t="s">
        <v>41</v>
      </c>
      <c r="J2" s="3" t="s">
        <v>29</v>
      </c>
      <c r="K2" s="3" t="s">
        <v>30</v>
      </c>
      <c r="L2" s="3" t="s">
        <v>2</v>
      </c>
      <c r="M2" s="3" t="s">
        <v>3</v>
      </c>
      <c r="N2" s="3" t="s">
        <v>40</v>
      </c>
      <c r="O2" s="3" t="s">
        <v>12</v>
      </c>
      <c r="P2" s="3" t="s">
        <v>14</v>
      </c>
      <c r="Q2" s="3" t="s">
        <v>16</v>
      </c>
    </row>
    <row r="3" spans="1:17" s="1" customFormat="1">
      <c r="A3" s="2"/>
      <c r="B3" s="5" t="s">
        <v>44</v>
      </c>
      <c r="C3" s="1" t="s">
        <v>34</v>
      </c>
      <c r="D3" s="5"/>
      <c r="E3" s="1">
        <v>6000</v>
      </c>
      <c r="F3" s="1">
        <v>400</v>
      </c>
      <c r="G3" s="1">
        <v>5</v>
      </c>
      <c r="H3" s="1">
        <v>-98</v>
      </c>
      <c r="I3" s="1">
        <v>3</v>
      </c>
      <c r="J3" s="1">
        <v>-45</v>
      </c>
      <c r="K3" s="1">
        <v>0</v>
      </c>
      <c r="L3" s="1">
        <v>500</v>
      </c>
      <c r="M3" s="1">
        <v>400</v>
      </c>
      <c r="N3" s="1">
        <v>1</v>
      </c>
      <c r="O3" s="1">
        <v>0</v>
      </c>
      <c r="P3" s="1">
        <f>E3/L3</f>
        <v>12</v>
      </c>
      <c r="Q3" s="1">
        <v>2</v>
      </c>
    </row>
    <row r="4" spans="1:17">
      <c r="B4" s="5" t="s">
        <v>45</v>
      </c>
      <c r="C4" s="1" t="s">
        <v>34</v>
      </c>
      <c r="E4" s="1">
        <v>6000</v>
      </c>
      <c r="F4" s="1">
        <v>400</v>
      </c>
      <c r="G4" s="1">
        <v>5</v>
      </c>
      <c r="H4" s="1">
        <v>-98</v>
      </c>
      <c r="I4" s="1">
        <v>3</v>
      </c>
      <c r="J4" s="1">
        <v>-45</v>
      </c>
      <c r="K4" s="1">
        <v>0</v>
      </c>
      <c r="L4" s="1">
        <v>500</v>
      </c>
      <c r="M4" s="1">
        <v>400</v>
      </c>
      <c r="N4" s="1">
        <v>1</v>
      </c>
      <c r="O4" s="1">
        <v>1</v>
      </c>
      <c r="P4" s="1">
        <f>E4/L4</f>
        <v>12</v>
      </c>
      <c r="Q4" s="1">
        <v>0.5</v>
      </c>
    </row>
    <row r="5" spans="1:17">
      <c r="B5" s="5" t="s">
        <v>43</v>
      </c>
      <c r="G5" s="1">
        <v>390</v>
      </c>
      <c r="H5" s="1">
        <v>140</v>
      </c>
      <c r="J5" s="1">
        <v>0</v>
      </c>
      <c r="K5" s="1">
        <v>0</v>
      </c>
      <c r="P5" s="1">
        <v>0</v>
      </c>
    </row>
    <row r="6" spans="1:17">
      <c r="B6" s="5" t="s">
        <v>35</v>
      </c>
      <c r="C6" s="1" t="s">
        <v>35</v>
      </c>
      <c r="D6" s="5" t="s">
        <v>46</v>
      </c>
      <c r="I6" s="1">
        <v>4</v>
      </c>
      <c r="P6" s="1">
        <v>1</v>
      </c>
    </row>
    <row r="7" spans="1:17">
      <c r="B7" s="5" t="s">
        <v>18</v>
      </c>
      <c r="C7" s="1" t="s">
        <v>36</v>
      </c>
      <c r="E7" s="1">
        <f t="shared" ref="E7:E13" si="0">L7*P7</f>
        <v>3400</v>
      </c>
      <c r="F7" s="1">
        <f>M7</f>
        <v>395</v>
      </c>
      <c r="G7" s="1">
        <v>30</v>
      </c>
      <c r="H7" s="1">
        <v>-30</v>
      </c>
      <c r="I7" s="1">
        <v>8</v>
      </c>
      <c r="J7" s="1">
        <v>0</v>
      </c>
      <c r="K7" s="1">
        <v>0</v>
      </c>
      <c r="L7" s="1">
        <v>340</v>
      </c>
      <c r="M7" s="1">
        <v>395</v>
      </c>
      <c r="N7" s="1">
        <v>1</v>
      </c>
      <c r="O7" s="1">
        <v>0</v>
      </c>
      <c r="P7" s="1">
        <v>10</v>
      </c>
      <c r="Q7" s="1">
        <v>0.7</v>
      </c>
    </row>
    <row r="8" spans="1:17">
      <c r="B8" s="5" t="s">
        <v>19</v>
      </c>
      <c r="C8" s="1" t="s">
        <v>36</v>
      </c>
      <c r="E8" s="1">
        <f t="shared" si="0"/>
        <v>13600</v>
      </c>
      <c r="F8" s="1">
        <f t="shared" ref="F8:F13" si="1">M8</f>
        <v>600</v>
      </c>
      <c r="G8" s="1">
        <v>0</v>
      </c>
      <c r="H8" s="1">
        <v>5</v>
      </c>
      <c r="I8" s="1">
        <v>8</v>
      </c>
      <c r="J8" s="1">
        <v>0</v>
      </c>
      <c r="K8" s="1">
        <v>0</v>
      </c>
      <c r="L8" s="1">
        <v>800</v>
      </c>
      <c r="M8" s="1">
        <v>600</v>
      </c>
      <c r="N8" s="1">
        <v>2</v>
      </c>
      <c r="O8" s="1">
        <v>0</v>
      </c>
      <c r="P8" s="1">
        <v>17</v>
      </c>
      <c r="Q8" s="1">
        <v>0.9</v>
      </c>
    </row>
    <row r="9" spans="1:17">
      <c r="B9" s="5" t="s">
        <v>20</v>
      </c>
      <c r="C9" s="1" t="s">
        <v>36</v>
      </c>
      <c r="E9" s="1">
        <f t="shared" si="0"/>
        <v>4832</v>
      </c>
      <c r="F9" s="1">
        <f>M9</f>
        <v>316</v>
      </c>
      <c r="G9" s="1">
        <v>0</v>
      </c>
      <c r="H9" s="1">
        <v>0</v>
      </c>
      <c r="I9" s="1">
        <v>2</v>
      </c>
      <c r="J9" s="1">
        <v>0</v>
      </c>
      <c r="K9" s="1">
        <v>0</v>
      </c>
      <c r="L9" s="1">
        <v>604</v>
      </c>
      <c r="M9" s="1">
        <v>316</v>
      </c>
      <c r="N9" s="1">
        <v>1</v>
      </c>
      <c r="O9" s="1">
        <v>0</v>
      </c>
      <c r="P9" s="1">
        <v>8</v>
      </c>
      <c r="Q9" s="1">
        <v>0.6</v>
      </c>
    </row>
    <row r="10" spans="1:17">
      <c r="B10" s="5" t="s">
        <v>21</v>
      </c>
      <c r="C10" s="1" t="s">
        <v>36</v>
      </c>
      <c r="E10" s="1">
        <f t="shared" si="0"/>
        <v>12240</v>
      </c>
      <c r="F10" s="1">
        <f>M10</f>
        <v>520</v>
      </c>
      <c r="G10" s="1">
        <v>0</v>
      </c>
      <c r="H10" s="1">
        <v>-60</v>
      </c>
      <c r="I10" s="1">
        <v>5</v>
      </c>
      <c r="J10" s="1">
        <v>0</v>
      </c>
      <c r="K10" s="1">
        <v>0</v>
      </c>
      <c r="L10" s="1">
        <v>680</v>
      </c>
      <c r="M10" s="1">
        <v>520</v>
      </c>
      <c r="N10" s="1">
        <v>2</v>
      </c>
      <c r="O10" s="1">
        <v>0</v>
      </c>
      <c r="P10" s="1">
        <v>18</v>
      </c>
      <c r="Q10" s="1">
        <v>0.9</v>
      </c>
    </row>
    <row r="11" spans="1:17">
      <c r="B11" s="5" t="s">
        <v>22</v>
      </c>
      <c r="C11" s="1" t="s">
        <v>36</v>
      </c>
      <c r="E11" s="1">
        <f t="shared" si="0"/>
        <v>2256</v>
      </c>
      <c r="F11" s="1">
        <f>M11</f>
        <v>186</v>
      </c>
      <c r="G11" s="1">
        <v>-5</v>
      </c>
      <c r="H11" s="1">
        <v>0</v>
      </c>
      <c r="I11" s="1">
        <v>2</v>
      </c>
      <c r="J11" s="1">
        <v>0</v>
      </c>
      <c r="K11" s="1">
        <v>0</v>
      </c>
      <c r="L11" s="1">
        <v>188</v>
      </c>
      <c r="M11" s="1">
        <v>186</v>
      </c>
      <c r="N11" s="1">
        <v>1</v>
      </c>
      <c r="O11" s="1">
        <v>0</v>
      </c>
      <c r="P11" s="1">
        <v>12</v>
      </c>
      <c r="Q11" s="1">
        <v>1.2</v>
      </c>
    </row>
    <row r="12" spans="1:17">
      <c r="B12" s="5" t="s">
        <v>23</v>
      </c>
      <c r="C12" s="1" t="s">
        <v>36</v>
      </c>
      <c r="E12" s="1">
        <f t="shared" si="0"/>
        <v>2400</v>
      </c>
      <c r="F12" s="1">
        <f>M12</f>
        <v>150</v>
      </c>
      <c r="G12" s="1">
        <v>0</v>
      </c>
      <c r="H12" s="1">
        <v>0</v>
      </c>
      <c r="I12" s="1">
        <v>2</v>
      </c>
      <c r="J12" s="1">
        <v>0</v>
      </c>
      <c r="K12" s="1">
        <v>0</v>
      </c>
      <c r="L12" s="1">
        <v>300</v>
      </c>
      <c r="M12" s="1">
        <v>150</v>
      </c>
      <c r="N12" s="1">
        <v>1</v>
      </c>
      <c r="O12" s="1">
        <v>0</v>
      </c>
      <c r="P12" s="1">
        <v>8</v>
      </c>
      <c r="Q12" s="1">
        <v>0.8</v>
      </c>
    </row>
    <row r="13" spans="1:17">
      <c r="B13" s="5" t="s">
        <v>24</v>
      </c>
      <c r="C13" s="1" t="s">
        <v>36</v>
      </c>
      <c r="E13" s="1">
        <f t="shared" si="0"/>
        <v>4800</v>
      </c>
      <c r="F13" s="1">
        <f t="shared" si="1"/>
        <v>150</v>
      </c>
      <c r="G13" s="1">
        <v>0</v>
      </c>
      <c r="H13" s="1">
        <v>0</v>
      </c>
      <c r="I13" s="1">
        <v>5</v>
      </c>
      <c r="J13" s="1">
        <v>0</v>
      </c>
      <c r="K13" s="1">
        <v>0</v>
      </c>
      <c r="L13" s="1">
        <v>300</v>
      </c>
      <c r="M13" s="1">
        <v>150</v>
      </c>
      <c r="N13" s="1">
        <v>1</v>
      </c>
      <c r="O13" s="1">
        <v>0</v>
      </c>
      <c r="P13" s="1">
        <v>16</v>
      </c>
      <c r="Q13" s="1">
        <v>0.8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2017-04-04T13:15:32Z</dcterms:modified>
</cp:coreProperties>
</file>